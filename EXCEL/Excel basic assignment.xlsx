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"/>
    </mc:Choice>
  </mc:AlternateContent>
  <xr:revisionPtr revIDLastSave="0" documentId="8_{366AA529-D6AA-42C0-ABB9-EE776370BF01}" xr6:coauthVersionLast="47" xr6:coauthVersionMax="47" xr10:uidLastSave="{00000000-0000-0000-0000-000000000000}"/>
  <bookViews>
    <workbookView xWindow="-110" yWindow="-110" windowWidth="19420" windowHeight="11020" xr2:uid="{FECBC8E3-48CE-4664-B30B-00ABDCAC22BD}"/>
  </bookViews>
  <sheets>
    <sheet name="Sheet1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J8" i="1"/>
  <c r="N54" i="1"/>
</calcChain>
</file>

<file path=xl/sharedStrings.xml><?xml version="1.0" encoding="utf-8"?>
<sst xmlns="http://schemas.openxmlformats.org/spreadsheetml/2006/main" count="182" uniqueCount="81">
  <si>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</si>
  <si>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</si>
  <si>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</si>
  <si>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</si>
  <si>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</si>
  <si>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</si>
  <si>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</si>
  <si>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</si>
  <si>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</si>
  <si>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</si>
  <si>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</si>
  <si>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</si>
  <si>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</si>
  <si>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</si>
  <si>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</si>
  <si>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</si>
  <si>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</si>
  <si>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</si>
  <si>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</si>
  <si>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</si>
  <si>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</si>
  <si>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</si>
  <si>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</si>
  <si>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</si>
  <si>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</si>
  <si>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</si>
  <si>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</si>
  <si>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</si>
  <si>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</si>
  <si>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</si>
  <si>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</si>
  <si>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</si>
  <si>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</si>
  <si>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</si>
  <si>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</si>
  <si>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</si>
  <si>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</si>
  <si>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</si>
  <si>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</si>
  <si>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</si>
  <si>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</si>
  <si>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</si>
  <si>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</si>
  <si>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</si>
  <si>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</si>
  <si>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</si>
  <si>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</si>
  <si>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</si>
  <si>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</si>
  <si>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</si>
  <si>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</si>
  <si>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</si>
  <si>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</si>
  <si>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</si>
  <si>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</si>
  <si>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</si>
  <si>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</si>
  <si>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</si>
  <si>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</si>
  <si>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</si>
  <si>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</si>
  <si>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</si>
  <si>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</si>
  <si>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</si>
  <si>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</si>
  <si>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</si>
  <si>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Ans</t>
  </si>
  <si>
    <t>Q4. Count how many customer names are recorded.</t>
  </si>
  <si>
    <t>Q5. Calculate the Total Sales for each row using a formula</t>
  </si>
  <si>
    <t>Q6. Calculate the total sales of Notebooks in the North region only.</t>
  </si>
  <si>
    <t xml:space="preserve">Ans. </t>
  </si>
  <si>
    <t>Q7 .Create a column chart showing total sales by product.</t>
  </si>
  <si>
    <t>Row Labels</t>
  </si>
  <si>
    <t>Grand Total</t>
  </si>
  <si>
    <t>Total sales</t>
  </si>
  <si>
    <t xml:space="preserve">Sum of Ans (5) Each product Sale </t>
  </si>
  <si>
    <t>Q8. Insert a line chart showing daily sales trend.</t>
  </si>
  <si>
    <t>Jan</t>
  </si>
  <si>
    <t>Feb</t>
  </si>
  <si>
    <t>Mar</t>
  </si>
  <si>
    <t xml:space="preserve">Total Each product 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</si>
</sst>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[Book2.xlsx]Sheet1!PivotTable5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Sheet1!$J$13:$J$18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Sheet1!$K$13:$K$18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A-4AF5-93E2-F6205594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982367"/>
        <c:axId val="464989087"/>
      </c:barChart>
      <c:catAx>
        <c:axId val="46498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9087"/>
        <c:crosses val="autoZero"/>
        <c:auto val="1"/>
        <c:lblAlgn val="ctr"/>
        <c:lblOffset val="100"/>
        <c:noMultiLvlLbl val="0"/>
      </c:catAx>
      <c:valAx>
        <c:axId val="46498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Sheet1!$K$27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Sheet1!$J$28:$J$31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Sheet1!$K$28:$K$31</c:f>
              <c:numCache>
                <c:formatCode>General</c:formatCode>
                <c:ptCount val="3"/>
                <c:pt idx="0">
                  <c:v>6100</c:v>
                </c:pt>
                <c:pt idx="1">
                  <c:v>7709</c:v>
                </c:pt>
                <c:pt idx="2">
                  <c:v>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C-44E6-A4DB-F552662B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989567"/>
        <c:axId val="464983327"/>
      </c:lineChart>
      <c:catAx>
        <c:axId val="46498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3327"/>
        <c:crosses val="autoZero"/>
        <c:auto val="1"/>
        <c:lblAlgn val="ctr"/>
        <c:lblOffset val="100"/>
        <c:noMultiLvlLbl val="0"/>
      </c:catAx>
      <c:valAx>
        <c:axId val="4649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89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300904</xdr:colOff>
      <xdr:row>11</xdr:row>
      <xdr:rowOff>75189</xdr:rowOff>
    </xdr:from>
    <xdr:to>
      <xdr:col>8</xdr:col>
      <xdr:colOff>3853296</xdr:colOff>
      <xdr:row>23</xdr:row>
      <xdr:rowOff>36079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9844F-9555-F3ED-1091-C3ECC6ABD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373063</xdr:colOff>
      <xdr:row>26</xdr:row>
      <xdr:rowOff>129310</xdr:rowOff>
    </xdr:from>
    <xdr:to>
      <xdr:col>8</xdr:col>
      <xdr:colOff>3853296</xdr:colOff>
      <xdr:row>36</xdr:row>
      <xdr:rowOff>158751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9DFB16-2B88-101C-7AE7-8D7139CFA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shu " refreshedDate="46067.847907523152" createdVersion="8" refreshedVersion="8" minRefreshableVersion="3" recordCount="50" xr:uid="{B44B56E8-EE7C-4728-A019-67221210D8AB}">
  <cacheSource type="worksheet">
    <worksheetSource ref="A1:I51" sheet="Sheet1"/>
  </cacheSource>
  <cacheFields count="11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10"/>
    </cacheField>
    <cacheField name="Ans (5) Each product Sale " numFmtId="0">
      <sharedItems containsSemiMixedTypes="0" containsString="0" containsNumber="1" containsInteger="1" minValue="90" maxValue="850"/>
    </cacheField>
    <cacheField name="Q4. Count how many customer names are recorded." numFmtId="0">
      <sharedItems containsBlank="1"/>
    </cacheField>
    <cacheField name="Days (OrderDate)" numFmtId="0" databaseField="0">
      <fieldGroup base="6">
        <rangePr groupBy="days" startDate="2024-01-05T00:00:00" endDate="2024-03-09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4"/>
        </groupItems>
      </fieldGroup>
    </cacheField>
    <cacheField name="Months (OrderDate)" numFmtId="0" databaseField="0">
      <fieldGroup base="6">
        <rangePr groupBy="months" startDate="2024-01-05T00:00:00" endDate="2024-03-09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  <s v="Ans"/>
  </r>
  <r>
    <n v="1002"/>
    <s v="Neha Verma"/>
    <s v="South"/>
    <x v="1"/>
    <n v="20"/>
    <n v="10"/>
    <x v="1"/>
    <n v="200"/>
    <m/>
  </r>
  <r>
    <n v="1003"/>
    <s v="Rahul Singh"/>
    <s v="East"/>
    <x v="2"/>
    <n v="15"/>
    <n v="25"/>
    <x v="2"/>
    <n v="375"/>
    <s v="Q5. Calculate the Total Sales for each row using a formula"/>
  </r>
  <r>
    <n v="1004"/>
    <s v="Pooja Mehta"/>
    <s v="West"/>
    <x v="0"/>
    <n v="5"/>
    <n v="50"/>
    <x v="3"/>
    <n v="250"/>
    <s v="Ans. "/>
  </r>
  <r>
    <n v="1005"/>
    <s v="Ankit Jain"/>
    <s v="North"/>
    <x v="3"/>
    <n v="30"/>
    <n v="5"/>
    <x v="4"/>
    <n v="150"/>
    <m/>
  </r>
  <r>
    <n v="1006"/>
    <s v="Sneha Patel"/>
    <s v="South"/>
    <x v="0"/>
    <n v="12"/>
    <n v="50"/>
    <x v="5"/>
    <n v="600"/>
    <s v="Q6. Calculate the total sales of Notebooks in the North region only."/>
  </r>
  <r>
    <n v="1007"/>
    <s v="Vikas Gupta"/>
    <s v="East"/>
    <x v="4"/>
    <n v="25"/>
    <n v="8"/>
    <x v="6"/>
    <n v="200"/>
    <s v="Ans"/>
  </r>
  <r>
    <n v="1008"/>
    <s v="Meera Nair"/>
    <s v="West"/>
    <x v="1"/>
    <n v="18"/>
    <n v="10"/>
    <x v="7"/>
    <n v="180"/>
    <m/>
  </r>
  <r>
    <n v="1009"/>
    <s v="Anjali Rao"/>
    <s v="North"/>
    <x v="2"/>
    <n v="22"/>
    <n v="25"/>
    <x v="8"/>
    <n v="550"/>
    <m/>
  </r>
  <r>
    <n v="1010"/>
    <s v="Manoj Das"/>
    <s v="South"/>
    <x v="0"/>
    <n v="8"/>
    <n v="50"/>
    <x v="9"/>
    <n v="400"/>
    <s v="Q7 .Create a column chart showing total sales by product."/>
  </r>
  <r>
    <n v="1011"/>
    <s v="Ritika Sen"/>
    <s v="East"/>
    <x v="3"/>
    <n v="40"/>
    <n v="5"/>
    <x v="10"/>
    <n v="200"/>
    <s v="Ans"/>
  </r>
  <r>
    <n v="1012"/>
    <s v="Karan Malhotra"/>
    <s v="West"/>
    <x v="4"/>
    <n v="35"/>
    <n v="8"/>
    <x v="11"/>
    <n v="280"/>
    <m/>
  </r>
  <r>
    <n v="1013"/>
    <s v="Aryan Joshi"/>
    <s v="North"/>
    <x v="0"/>
    <n v="14"/>
    <n v="50"/>
    <x v="12"/>
    <n v="700"/>
    <m/>
  </r>
  <r>
    <n v="1014"/>
    <s v="Divya Kapoor"/>
    <s v="South"/>
    <x v="1"/>
    <n v="28"/>
    <n v="10"/>
    <x v="13"/>
    <n v="280"/>
    <m/>
  </r>
  <r>
    <n v="1015"/>
    <s v="Sahil Arora"/>
    <s v="East"/>
    <x v="2"/>
    <n v="12"/>
    <n v="25"/>
    <x v="14"/>
    <n v="300"/>
    <m/>
  </r>
  <r>
    <n v="1016"/>
    <s v="Muskan Jain"/>
    <s v="West"/>
    <x v="3"/>
    <n v="25"/>
    <n v="5"/>
    <x v="15"/>
    <n v="125"/>
    <m/>
  </r>
  <r>
    <n v="1017"/>
    <s v="Rohan Gupta"/>
    <s v="North"/>
    <x v="4"/>
    <n v="20"/>
    <n v="8"/>
    <x v="16"/>
    <n v="160"/>
    <m/>
  </r>
  <r>
    <n v="1018"/>
    <s v="Nidhi Sharma"/>
    <s v="South"/>
    <x v="0"/>
    <n v="10"/>
    <n v="50"/>
    <x v="17"/>
    <n v="500"/>
    <m/>
  </r>
  <r>
    <n v="1019"/>
    <s v="Tarun Verma"/>
    <s v="East"/>
    <x v="1"/>
    <n v="15"/>
    <n v="10"/>
    <x v="18"/>
    <n v="150"/>
    <m/>
  </r>
  <r>
    <n v="1020"/>
    <s v="Simran Kaur"/>
    <s v="West"/>
    <x v="2"/>
    <n v="18"/>
    <n v="25"/>
    <x v="19"/>
    <n v="450"/>
    <m/>
  </r>
  <r>
    <n v="1021"/>
    <s v="Deepak Rao"/>
    <s v="North"/>
    <x v="0"/>
    <n v="9"/>
    <n v="50"/>
    <x v="20"/>
    <n v="450"/>
    <m/>
  </r>
  <r>
    <n v="1022"/>
    <s v="Payal Mehta"/>
    <s v="South"/>
    <x v="3"/>
    <n v="35"/>
    <n v="5"/>
    <x v="21"/>
    <n v="175"/>
    <m/>
  </r>
  <r>
    <n v="1023"/>
    <s v="Aditya Singh"/>
    <s v="East"/>
    <x v="4"/>
    <n v="30"/>
    <n v="8"/>
    <x v="22"/>
    <n v="240"/>
    <m/>
  </r>
  <r>
    <n v="1024"/>
    <s v="Shreya Nair"/>
    <s v="West"/>
    <x v="0"/>
    <n v="11"/>
    <n v="50"/>
    <x v="23"/>
    <n v="550"/>
    <m/>
  </r>
  <r>
    <n v="1025"/>
    <s v="Sanjay Kumar"/>
    <s v="North"/>
    <x v="1"/>
    <n v="14"/>
    <n v="10"/>
    <x v="24"/>
    <n v="140"/>
    <m/>
  </r>
  <r>
    <n v="1026"/>
    <s v="Aarti Sharma"/>
    <s v="South"/>
    <x v="2"/>
    <n v="16"/>
    <n v="25"/>
    <x v="25"/>
    <n v="400"/>
    <m/>
  </r>
  <r>
    <n v="1027"/>
    <s v="Rajesh Patel"/>
    <s v="East"/>
    <x v="3"/>
    <n v="22"/>
    <n v="5"/>
    <x v="26"/>
    <n v="110"/>
    <m/>
  </r>
  <r>
    <n v="1028"/>
    <s v="Preeti Joshi"/>
    <s v="West"/>
    <x v="4"/>
    <n v="27"/>
    <n v="8"/>
    <x v="27"/>
    <n v="216"/>
    <m/>
  </r>
  <r>
    <n v="1029"/>
    <s v="Anurag Mishra"/>
    <s v="North"/>
    <x v="0"/>
    <n v="13"/>
    <n v="50"/>
    <x v="28"/>
    <n v="650"/>
    <m/>
  </r>
  <r>
    <n v="1030"/>
    <s v="Sanya Kapoor"/>
    <s v="South"/>
    <x v="1"/>
    <n v="32"/>
    <n v="10"/>
    <x v="29"/>
    <n v="320"/>
    <m/>
  </r>
  <r>
    <n v="1031"/>
    <s v="Harsh Yadav"/>
    <s v="East"/>
    <x v="2"/>
    <n v="10"/>
    <n v="25"/>
    <x v="30"/>
    <n v="250"/>
    <m/>
  </r>
  <r>
    <n v="1032"/>
    <s v="Kajal Rani"/>
    <s v="West"/>
    <x v="3"/>
    <n v="18"/>
    <n v="5"/>
    <x v="31"/>
    <n v="90"/>
    <m/>
  </r>
  <r>
    <n v="1033"/>
    <s v="Varun Sharma"/>
    <s v="North"/>
    <x v="4"/>
    <n v="22"/>
    <n v="8"/>
    <x v="32"/>
    <n v="176"/>
    <m/>
  </r>
  <r>
    <n v="1034"/>
    <s v="Swati Arora"/>
    <s v="South"/>
    <x v="0"/>
    <n v="17"/>
    <n v="50"/>
    <x v="33"/>
    <n v="850"/>
    <m/>
  </r>
  <r>
    <n v="1035"/>
    <s v="Akhil Jain"/>
    <s v="East"/>
    <x v="1"/>
    <n v="19"/>
    <n v="10"/>
    <x v="34"/>
    <n v="190"/>
    <m/>
  </r>
  <r>
    <n v="1036"/>
    <s v="Priyanka Das"/>
    <s v="West"/>
    <x v="2"/>
    <n v="15"/>
    <n v="25"/>
    <x v="35"/>
    <n v="375"/>
    <m/>
  </r>
  <r>
    <n v="1037"/>
    <s v="Ravi Nair"/>
    <s v="North"/>
    <x v="3"/>
    <n v="28"/>
    <n v="5"/>
    <x v="36"/>
    <n v="140"/>
    <m/>
  </r>
  <r>
    <n v="1038"/>
    <s v="Komal Singh"/>
    <s v="South"/>
    <x v="4"/>
    <n v="24"/>
    <n v="8"/>
    <x v="37"/>
    <n v="192"/>
    <m/>
  </r>
  <r>
    <n v="1039"/>
    <s v="Ayesha Khan"/>
    <s v="East"/>
    <x v="0"/>
    <n v="16"/>
    <n v="50"/>
    <x v="38"/>
    <n v="800"/>
    <m/>
  </r>
  <r>
    <n v="1040"/>
    <s v="Arjun Mehta"/>
    <s v="West"/>
    <x v="1"/>
    <n v="27"/>
    <n v="10"/>
    <x v="39"/>
    <n v="270"/>
    <m/>
  </r>
  <r>
    <n v="1041"/>
    <s v="Sonali Gupta"/>
    <s v="North"/>
    <x v="2"/>
    <n v="21"/>
    <n v="25"/>
    <x v="40"/>
    <n v="525"/>
    <m/>
  </r>
  <r>
    <n v="1042"/>
    <s v="Neeraj Kapoor"/>
    <s v="South"/>
    <x v="3"/>
    <n v="30"/>
    <n v="5"/>
    <x v="41"/>
    <n v="150"/>
    <m/>
  </r>
  <r>
    <n v="1043"/>
    <s v="Shruti Sharma"/>
    <s v="East"/>
    <x v="4"/>
    <n v="26"/>
    <n v="8"/>
    <x v="42"/>
    <n v="208"/>
    <m/>
  </r>
  <r>
    <n v="1044"/>
    <s v="Yash Arora"/>
    <s v="West"/>
    <x v="0"/>
    <n v="14"/>
    <n v="50"/>
    <x v="43"/>
    <n v="700"/>
    <m/>
  </r>
  <r>
    <n v="1045"/>
    <s v="Manish Das"/>
    <s v="North"/>
    <x v="1"/>
    <n v="20"/>
    <n v="10"/>
    <x v="44"/>
    <n v="200"/>
    <m/>
  </r>
  <r>
    <n v="1046"/>
    <s v="Rupal Nair"/>
    <s v="South"/>
    <x v="2"/>
    <n v="17"/>
    <n v="25"/>
    <x v="45"/>
    <n v="425"/>
    <m/>
  </r>
  <r>
    <n v="1047"/>
    <s v="Sonia Verma"/>
    <s v="East"/>
    <x v="3"/>
    <n v="19"/>
    <n v="5"/>
    <x v="46"/>
    <n v="95"/>
    <m/>
  </r>
  <r>
    <n v="1048"/>
    <s v="Kunal Singh"/>
    <s v="West"/>
    <x v="4"/>
    <n v="32"/>
    <n v="8"/>
    <x v="47"/>
    <n v="256"/>
    <m/>
  </r>
  <r>
    <n v="1049"/>
    <s v="Ritika Jain"/>
    <s v="North"/>
    <x v="0"/>
    <n v="12"/>
    <n v="50"/>
    <x v="48"/>
    <n v="600"/>
    <m/>
  </r>
  <r>
    <n v="1050"/>
    <s v="Vivek Malhotra"/>
    <s v="South"/>
    <x v="1"/>
    <n v="25"/>
    <n v="10"/>
    <x v="49"/>
    <n v="2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AB0C6-5FF5-4FD8-BAFF-279AA22BE12C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7:K31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0"/>
    <field x="9"/>
    <field x="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ns (5) Each product Sale 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E2916-B151-4315-ACDD-70A67437430E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2:K18" firstHeaderRow="1" firstDataRow="1" firstDataCol="1"/>
  <pivotFields count="11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ns (5) Each product Sale 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FE56-15CE-45E0-8108-7D6339982B17}">
  <dimension ref="A1:Q54"/>
  <sheetViews>
    <sheetView tabSelected="1" topLeftCell="A14" zoomScale="88" workbookViewId="0">
      <selection activeCell="K24" sqref="K24"/>
    </sheetView>
  </sheetViews>
  <sheetFormatPr defaultColWidth="15.6328125" defaultRowHeight="14.5" x14ac:dyDescent="0.35"/>
  <cols>
    <col min="1" max="1" width="7.54296875" bestFit="1" customWidth="1"/>
    <col min="2" max="2" width="14" bestFit="1" customWidth="1"/>
    <col min="3" max="3" width="6.6328125" bestFit="1" customWidth="1"/>
    <col min="4" max="4" width="9" bestFit="1" customWidth="1"/>
    <col min="5" max="5" width="8.1796875" bestFit="1" customWidth="1"/>
    <col min="6" max="6" width="8.54296875" bestFit="1" customWidth="1"/>
    <col min="7" max="7" width="10.453125" bestFit="1" customWidth="1"/>
    <col min="8" max="8" width="22.6328125" customWidth="1"/>
    <col min="9" max="9" width="57.08984375" bestFit="1" customWidth="1"/>
    <col min="10" max="10" width="12.7265625" bestFit="1" customWidth="1"/>
    <col min="11" max="11" width="29" bestFit="1" customWidth="1"/>
    <col min="12" max="12" width="15.6328125" hidden="1" customWidth="1"/>
    <col min="13" max="13" width="5.81640625" hidden="1" customWidth="1"/>
  </cols>
  <sheetData>
    <row r="1" spans="1:1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80</v>
      </c>
      <c r="I1" s="6" t="s">
        <v>67</v>
      </c>
      <c r="J1" s="2"/>
      <c r="K1" s="2"/>
      <c r="L1" s="2"/>
      <c r="M1" s="2"/>
    </row>
    <row r="2" spans="1:13" x14ac:dyDescent="0.35">
      <c r="A2" s="8">
        <v>1001</v>
      </c>
      <c r="B2" s="8" t="s">
        <v>7</v>
      </c>
      <c r="C2" s="8" t="s">
        <v>8</v>
      </c>
      <c r="D2" s="8" t="s">
        <v>9</v>
      </c>
      <c r="E2" s="8">
        <v>10</v>
      </c>
      <c r="F2" s="8">
        <v>50</v>
      </c>
      <c r="G2" s="9">
        <v>45296</v>
      </c>
      <c r="H2" s="1">
        <f>E2*F2</f>
        <v>500</v>
      </c>
      <c r="I2" t="s">
        <v>66</v>
      </c>
      <c r="J2" s="3">
        <f>COUNTA(B2:B51)</f>
        <v>50</v>
      </c>
    </row>
    <row r="3" spans="1:13" x14ac:dyDescent="0.35">
      <c r="A3" s="8">
        <v>1002</v>
      </c>
      <c r="B3" s="8" t="s">
        <v>10</v>
      </c>
      <c r="C3" s="8" t="s">
        <v>11</v>
      </c>
      <c r="D3" s="8" t="s">
        <v>12</v>
      </c>
      <c r="E3" s="8">
        <v>20</v>
      </c>
      <c r="F3" s="8">
        <v>10</v>
      </c>
      <c r="G3" s="9">
        <v>45297</v>
      </c>
      <c r="H3" s="1">
        <f>E3*F3</f>
        <v>200</v>
      </c>
    </row>
    <row r="4" spans="1:13" x14ac:dyDescent="0.35">
      <c r="A4" s="8">
        <v>1003</v>
      </c>
      <c r="B4" s="8" t="s">
        <v>13</v>
      </c>
      <c r="C4" s="8" t="s">
        <v>14</v>
      </c>
      <c r="D4" s="8" t="s">
        <v>15</v>
      </c>
      <c r="E4" s="8">
        <v>15</v>
      </c>
      <c r="F4" s="8">
        <v>25</v>
      </c>
      <c r="G4" s="9">
        <v>45298</v>
      </c>
      <c r="H4" s="1">
        <f>E4*F4</f>
        <v>375</v>
      </c>
      <c r="I4" s="6" t="s">
        <v>68</v>
      </c>
      <c r="J4" s="2"/>
      <c r="K4" s="2"/>
    </row>
    <row r="5" spans="1:13" x14ac:dyDescent="0.35">
      <c r="A5" s="8">
        <v>1004</v>
      </c>
      <c r="B5" s="8" t="s">
        <v>16</v>
      </c>
      <c r="C5" s="8" t="s">
        <v>17</v>
      </c>
      <c r="D5" s="8" t="s">
        <v>9</v>
      </c>
      <c r="E5" s="8">
        <v>5</v>
      </c>
      <c r="F5" s="8">
        <v>50</v>
      </c>
      <c r="G5" s="9">
        <v>45299</v>
      </c>
      <c r="H5" s="1">
        <f>E5*F5</f>
        <v>250</v>
      </c>
      <c r="I5" t="s">
        <v>70</v>
      </c>
    </row>
    <row r="6" spans="1:13" x14ac:dyDescent="0.35">
      <c r="A6" s="8">
        <v>1005</v>
      </c>
      <c r="B6" s="8" t="s">
        <v>18</v>
      </c>
      <c r="C6" s="8" t="s">
        <v>8</v>
      </c>
      <c r="D6" s="8" t="s">
        <v>19</v>
      </c>
      <c r="E6" s="8">
        <v>30</v>
      </c>
      <c r="F6" s="8">
        <v>5</v>
      </c>
      <c r="G6" s="9">
        <v>45301</v>
      </c>
      <c r="H6" s="1">
        <f>E6*F6</f>
        <v>150</v>
      </c>
    </row>
    <row r="7" spans="1:13" x14ac:dyDescent="0.35">
      <c r="A7" s="8">
        <v>1006</v>
      </c>
      <c r="B7" s="8" t="s">
        <v>20</v>
      </c>
      <c r="C7" s="8" t="s">
        <v>11</v>
      </c>
      <c r="D7" s="8" t="s">
        <v>9</v>
      </c>
      <c r="E7" s="8">
        <v>12</v>
      </c>
      <c r="F7" s="8">
        <v>50</v>
      </c>
      <c r="G7" s="9">
        <v>45302</v>
      </c>
      <c r="H7" s="1">
        <f>E7*F7</f>
        <v>600</v>
      </c>
      <c r="I7" t="s">
        <v>69</v>
      </c>
    </row>
    <row r="8" spans="1:13" x14ac:dyDescent="0.35">
      <c r="A8" s="8">
        <v>1007</v>
      </c>
      <c r="B8" s="8" t="s">
        <v>21</v>
      </c>
      <c r="C8" s="8" t="s">
        <v>14</v>
      </c>
      <c r="D8" s="8" t="s">
        <v>22</v>
      </c>
      <c r="E8" s="8">
        <v>25</v>
      </c>
      <c r="F8" s="8">
        <v>8</v>
      </c>
      <c r="G8" s="9">
        <v>45304</v>
      </c>
      <c r="H8" s="1">
        <f>E8*F8</f>
        <v>200</v>
      </c>
      <c r="I8" t="s">
        <v>66</v>
      </c>
      <c r="J8">
        <f>SUMIFS(G2:G51, C2:C51, "North", D2:D51, "Notebook")</f>
        <v>226625</v>
      </c>
    </row>
    <row r="9" spans="1:13" x14ac:dyDescent="0.35">
      <c r="A9" s="8">
        <v>1008</v>
      </c>
      <c r="B9" s="8" t="s">
        <v>23</v>
      </c>
      <c r="C9" s="8" t="s">
        <v>17</v>
      </c>
      <c r="D9" s="8" t="s">
        <v>12</v>
      </c>
      <c r="E9" s="8">
        <v>18</v>
      </c>
      <c r="F9" s="8">
        <v>10</v>
      </c>
      <c r="G9" s="9">
        <v>45306</v>
      </c>
      <c r="H9" s="1">
        <f>E9*F9</f>
        <v>180</v>
      </c>
    </row>
    <row r="10" spans="1:13" x14ac:dyDescent="0.35">
      <c r="A10" s="8">
        <v>1009</v>
      </c>
      <c r="B10" s="8" t="s">
        <v>24</v>
      </c>
      <c r="C10" s="8" t="s">
        <v>8</v>
      </c>
      <c r="D10" s="8" t="s">
        <v>15</v>
      </c>
      <c r="E10" s="8">
        <v>22</v>
      </c>
      <c r="F10" s="8">
        <v>25</v>
      </c>
      <c r="G10" s="9">
        <v>45308</v>
      </c>
      <c r="H10" s="1">
        <f>E10*F10</f>
        <v>550</v>
      </c>
    </row>
    <row r="11" spans="1:13" x14ac:dyDescent="0.35">
      <c r="A11" s="8">
        <v>1010</v>
      </c>
      <c r="B11" s="8" t="s">
        <v>25</v>
      </c>
      <c r="C11" s="8" t="s">
        <v>11</v>
      </c>
      <c r="D11" s="8" t="s">
        <v>9</v>
      </c>
      <c r="E11" s="8">
        <v>8</v>
      </c>
      <c r="F11" s="8">
        <v>50</v>
      </c>
      <c r="G11" s="9">
        <v>45309</v>
      </c>
      <c r="H11" s="1">
        <f>E11*F11</f>
        <v>400</v>
      </c>
      <c r="I11" t="s">
        <v>71</v>
      </c>
    </row>
    <row r="12" spans="1:13" x14ac:dyDescent="0.35">
      <c r="A12" s="8">
        <v>1011</v>
      </c>
      <c r="B12" s="8" t="s">
        <v>26</v>
      </c>
      <c r="C12" s="8" t="s">
        <v>14</v>
      </c>
      <c r="D12" s="8" t="s">
        <v>19</v>
      </c>
      <c r="E12" s="8">
        <v>40</v>
      </c>
      <c r="F12" s="8">
        <v>5</v>
      </c>
      <c r="G12" s="9">
        <v>45310</v>
      </c>
      <c r="H12" s="1">
        <f>E12*F12</f>
        <v>200</v>
      </c>
      <c r="I12" t="s">
        <v>66</v>
      </c>
      <c r="J12" s="4" t="s">
        <v>72</v>
      </c>
      <c r="K12" t="s">
        <v>75</v>
      </c>
    </row>
    <row r="13" spans="1:13" x14ac:dyDescent="0.35">
      <c r="A13" s="8">
        <v>1012</v>
      </c>
      <c r="B13" s="8" t="s">
        <v>27</v>
      </c>
      <c r="C13" s="8" t="s">
        <v>17</v>
      </c>
      <c r="D13" s="8" t="s">
        <v>22</v>
      </c>
      <c r="E13" s="8">
        <v>35</v>
      </c>
      <c r="F13" s="8">
        <v>8</v>
      </c>
      <c r="G13" s="9">
        <v>45311</v>
      </c>
      <c r="H13" s="1">
        <f>E13*F13</f>
        <v>280</v>
      </c>
      <c r="J13" s="3" t="s">
        <v>22</v>
      </c>
      <c r="K13" s="5">
        <v>1928</v>
      </c>
    </row>
    <row r="14" spans="1:13" x14ac:dyDescent="0.35">
      <c r="A14" s="8">
        <v>1013</v>
      </c>
      <c r="B14" s="8" t="s">
        <v>28</v>
      </c>
      <c r="C14" s="8" t="s">
        <v>8</v>
      </c>
      <c r="D14" s="8" t="s">
        <v>9</v>
      </c>
      <c r="E14" s="8">
        <v>14</v>
      </c>
      <c r="F14" s="8">
        <v>50</v>
      </c>
      <c r="G14" s="9">
        <v>45313</v>
      </c>
      <c r="H14" s="1">
        <f>E14*F14</f>
        <v>700</v>
      </c>
      <c r="J14" s="3" t="s">
        <v>15</v>
      </c>
      <c r="K14" s="5">
        <v>3650</v>
      </c>
    </row>
    <row r="15" spans="1:13" x14ac:dyDescent="0.35">
      <c r="A15" s="8">
        <v>1014</v>
      </c>
      <c r="B15" s="8" t="s">
        <v>29</v>
      </c>
      <c r="C15" s="8" t="s">
        <v>11</v>
      </c>
      <c r="D15" s="8" t="s">
        <v>12</v>
      </c>
      <c r="E15" s="8">
        <v>28</v>
      </c>
      <c r="F15" s="8">
        <v>10</v>
      </c>
      <c r="G15" s="9">
        <v>45314</v>
      </c>
      <c r="H15" s="1">
        <f>E15*F15</f>
        <v>280</v>
      </c>
      <c r="J15" s="3" t="s">
        <v>9</v>
      </c>
      <c r="K15" s="5">
        <v>7550</v>
      </c>
    </row>
    <row r="16" spans="1:13" x14ac:dyDescent="0.35">
      <c r="A16" s="8">
        <v>1015</v>
      </c>
      <c r="B16" s="8" t="s">
        <v>30</v>
      </c>
      <c r="C16" s="8" t="s">
        <v>14</v>
      </c>
      <c r="D16" s="8" t="s">
        <v>15</v>
      </c>
      <c r="E16" s="8">
        <v>12</v>
      </c>
      <c r="F16" s="8">
        <v>25</v>
      </c>
      <c r="G16" s="9">
        <v>45315</v>
      </c>
      <c r="H16" s="1">
        <f>E16*F16</f>
        <v>300</v>
      </c>
      <c r="J16" s="3" t="s">
        <v>12</v>
      </c>
      <c r="K16" s="5">
        <v>2180</v>
      </c>
    </row>
    <row r="17" spans="1:11" x14ac:dyDescent="0.35">
      <c r="A17" s="8">
        <v>1016</v>
      </c>
      <c r="B17" s="8" t="s">
        <v>31</v>
      </c>
      <c r="C17" s="8" t="s">
        <v>17</v>
      </c>
      <c r="D17" s="8" t="s">
        <v>19</v>
      </c>
      <c r="E17" s="8">
        <v>25</v>
      </c>
      <c r="F17" s="8">
        <v>5</v>
      </c>
      <c r="G17" s="9">
        <v>45317</v>
      </c>
      <c r="H17" s="1">
        <f>E17*F17</f>
        <v>125</v>
      </c>
      <c r="J17" s="3" t="s">
        <v>19</v>
      </c>
      <c r="K17" s="5">
        <v>1235</v>
      </c>
    </row>
    <row r="18" spans="1:11" x14ac:dyDescent="0.35">
      <c r="A18" s="8">
        <v>1017</v>
      </c>
      <c r="B18" s="8" t="s">
        <v>32</v>
      </c>
      <c r="C18" s="8" t="s">
        <v>8</v>
      </c>
      <c r="D18" s="8" t="s">
        <v>22</v>
      </c>
      <c r="E18" s="8">
        <v>20</v>
      </c>
      <c r="F18" s="8">
        <v>8</v>
      </c>
      <c r="G18" s="9">
        <v>45319</v>
      </c>
      <c r="H18" s="1">
        <f>E18*F18</f>
        <v>160</v>
      </c>
      <c r="J18" s="3" t="s">
        <v>73</v>
      </c>
      <c r="K18" s="5">
        <v>16543</v>
      </c>
    </row>
    <row r="19" spans="1:11" x14ac:dyDescent="0.35">
      <c r="A19" s="8">
        <v>1018</v>
      </c>
      <c r="B19" s="8" t="s">
        <v>33</v>
      </c>
      <c r="C19" s="8" t="s">
        <v>11</v>
      </c>
      <c r="D19" s="8" t="s">
        <v>9</v>
      </c>
      <c r="E19" s="8">
        <v>10</v>
      </c>
      <c r="F19" s="8">
        <v>50</v>
      </c>
      <c r="G19" s="9">
        <v>45320</v>
      </c>
      <c r="H19" s="1">
        <f>E19*F19</f>
        <v>500</v>
      </c>
    </row>
    <row r="20" spans="1:11" x14ac:dyDescent="0.35">
      <c r="A20" s="8">
        <v>1019</v>
      </c>
      <c r="B20" s="8" t="s">
        <v>34</v>
      </c>
      <c r="C20" s="8" t="s">
        <v>14</v>
      </c>
      <c r="D20" s="8" t="s">
        <v>12</v>
      </c>
      <c r="E20" s="8">
        <v>15</v>
      </c>
      <c r="F20" s="8">
        <v>10</v>
      </c>
      <c r="G20" s="9">
        <v>45321</v>
      </c>
      <c r="H20" s="1">
        <f>E20*F20</f>
        <v>150</v>
      </c>
    </row>
    <row r="21" spans="1:11" x14ac:dyDescent="0.35">
      <c r="A21" s="8">
        <v>1020</v>
      </c>
      <c r="B21" s="8" t="s">
        <v>35</v>
      </c>
      <c r="C21" s="8" t="s">
        <v>17</v>
      </c>
      <c r="D21" s="8" t="s">
        <v>15</v>
      </c>
      <c r="E21" s="8">
        <v>18</v>
      </c>
      <c r="F21" s="8">
        <v>25</v>
      </c>
      <c r="G21" s="9">
        <v>45323</v>
      </c>
      <c r="H21" s="1">
        <f>E21*F21</f>
        <v>450</v>
      </c>
    </row>
    <row r="22" spans="1:11" x14ac:dyDescent="0.35">
      <c r="A22" s="8">
        <v>1021</v>
      </c>
      <c r="B22" s="8" t="s">
        <v>36</v>
      </c>
      <c r="C22" s="8" t="s">
        <v>8</v>
      </c>
      <c r="D22" s="8" t="s">
        <v>9</v>
      </c>
      <c r="E22" s="8">
        <v>9</v>
      </c>
      <c r="F22" s="8">
        <v>50</v>
      </c>
      <c r="G22" s="9">
        <v>45324</v>
      </c>
      <c r="H22" s="1">
        <f>E22*F22</f>
        <v>450</v>
      </c>
    </row>
    <row r="23" spans="1:11" x14ac:dyDescent="0.35">
      <c r="A23" s="8">
        <v>1022</v>
      </c>
      <c r="B23" s="8" t="s">
        <v>37</v>
      </c>
      <c r="C23" s="8" t="s">
        <v>11</v>
      </c>
      <c r="D23" s="8" t="s">
        <v>19</v>
      </c>
      <c r="E23" s="8">
        <v>35</v>
      </c>
      <c r="F23" s="8">
        <v>5</v>
      </c>
      <c r="G23" s="9">
        <v>45325</v>
      </c>
      <c r="H23" s="1">
        <f>E23*F23</f>
        <v>175</v>
      </c>
    </row>
    <row r="24" spans="1:11" x14ac:dyDescent="0.35">
      <c r="A24" s="8">
        <v>1023</v>
      </c>
      <c r="B24" s="8" t="s">
        <v>38</v>
      </c>
      <c r="C24" s="8" t="s">
        <v>14</v>
      </c>
      <c r="D24" s="8" t="s">
        <v>22</v>
      </c>
      <c r="E24" s="8">
        <v>30</v>
      </c>
      <c r="F24" s="8">
        <v>8</v>
      </c>
      <c r="G24" s="9">
        <v>45326</v>
      </c>
      <c r="H24" s="1">
        <f>E24*F24</f>
        <v>240</v>
      </c>
    </row>
    <row r="25" spans="1:11" x14ac:dyDescent="0.35">
      <c r="A25" s="8">
        <v>1024</v>
      </c>
      <c r="B25" s="8" t="s">
        <v>39</v>
      </c>
      <c r="C25" s="8" t="s">
        <v>17</v>
      </c>
      <c r="D25" s="8" t="s">
        <v>9</v>
      </c>
      <c r="E25" s="8">
        <v>11</v>
      </c>
      <c r="F25" s="8">
        <v>50</v>
      </c>
      <c r="G25" s="9">
        <v>45328</v>
      </c>
      <c r="H25" s="1">
        <f>E25*F25</f>
        <v>550</v>
      </c>
    </row>
    <row r="26" spans="1:11" x14ac:dyDescent="0.35">
      <c r="A26" s="8">
        <v>1025</v>
      </c>
      <c r="B26" s="8" t="s">
        <v>40</v>
      </c>
      <c r="C26" s="8" t="s">
        <v>8</v>
      </c>
      <c r="D26" s="8" t="s">
        <v>12</v>
      </c>
      <c r="E26" s="8">
        <v>14</v>
      </c>
      <c r="F26" s="8">
        <v>10</v>
      </c>
      <c r="G26" s="9">
        <v>45329</v>
      </c>
      <c r="H26" s="1">
        <f>E26*F26</f>
        <v>140</v>
      </c>
      <c r="I26" t="s">
        <v>76</v>
      </c>
    </row>
    <row r="27" spans="1:11" x14ac:dyDescent="0.35">
      <c r="A27" s="8">
        <v>1026</v>
      </c>
      <c r="B27" s="8" t="s">
        <v>41</v>
      </c>
      <c r="C27" s="8" t="s">
        <v>11</v>
      </c>
      <c r="D27" s="8" t="s">
        <v>15</v>
      </c>
      <c r="E27" s="8">
        <v>16</v>
      </c>
      <c r="F27" s="8">
        <v>25</v>
      </c>
      <c r="G27" s="9">
        <v>45330</v>
      </c>
      <c r="H27" s="1">
        <f>E27*F27</f>
        <v>400</v>
      </c>
      <c r="J27" s="4" t="s">
        <v>72</v>
      </c>
      <c r="K27" t="s">
        <v>75</v>
      </c>
    </row>
    <row r="28" spans="1:11" x14ac:dyDescent="0.35">
      <c r="A28" s="8">
        <v>1027</v>
      </c>
      <c r="B28" s="8" t="s">
        <v>42</v>
      </c>
      <c r="C28" s="8" t="s">
        <v>14</v>
      </c>
      <c r="D28" s="8" t="s">
        <v>19</v>
      </c>
      <c r="E28" s="8">
        <v>22</v>
      </c>
      <c r="F28" s="8">
        <v>5</v>
      </c>
      <c r="G28" s="9">
        <v>45331</v>
      </c>
      <c r="H28" s="1">
        <f>E28*F28</f>
        <v>110</v>
      </c>
      <c r="J28" s="3" t="s">
        <v>77</v>
      </c>
      <c r="K28" s="5">
        <v>6100</v>
      </c>
    </row>
    <row r="29" spans="1:11" x14ac:dyDescent="0.35">
      <c r="A29" s="8">
        <v>1028</v>
      </c>
      <c r="B29" s="8" t="s">
        <v>43</v>
      </c>
      <c r="C29" s="8" t="s">
        <v>17</v>
      </c>
      <c r="D29" s="8" t="s">
        <v>22</v>
      </c>
      <c r="E29" s="8">
        <v>27</v>
      </c>
      <c r="F29" s="8">
        <v>8</v>
      </c>
      <c r="G29" s="9">
        <v>45332</v>
      </c>
      <c r="H29" s="1">
        <f>E29*F29</f>
        <v>216</v>
      </c>
      <c r="J29" s="3" t="s">
        <v>78</v>
      </c>
      <c r="K29" s="5">
        <v>7709</v>
      </c>
    </row>
    <row r="30" spans="1:11" x14ac:dyDescent="0.35">
      <c r="A30" s="8">
        <v>1029</v>
      </c>
      <c r="B30" s="8" t="s">
        <v>44</v>
      </c>
      <c r="C30" s="8" t="s">
        <v>8</v>
      </c>
      <c r="D30" s="8" t="s">
        <v>9</v>
      </c>
      <c r="E30" s="8">
        <v>13</v>
      </c>
      <c r="F30" s="8">
        <v>50</v>
      </c>
      <c r="G30" s="9">
        <v>45334</v>
      </c>
      <c r="H30" s="1">
        <f>E30*F30</f>
        <v>650</v>
      </c>
      <c r="J30" s="3" t="s">
        <v>79</v>
      </c>
      <c r="K30" s="5">
        <v>2734</v>
      </c>
    </row>
    <row r="31" spans="1:11" x14ac:dyDescent="0.35">
      <c r="A31" s="8">
        <v>1030</v>
      </c>
      <c r="B31" s="8" t="s">
        <v>45</v>
      </c>
      <c r="C31" s="8" t="s">
        <v>11</v>
      </c>
      <c r="D31" s="8" t="s">
        <v>12</v>
      </c>
      <c r="E31" s="8">
        <v>32</v>
      </c>
      <c r="F31" s="8">
        <v>10</v>
      </c>
      <c r="G31" s="9">
        <v>45335</v>
      </c>
      <c r="H31" s="1">
        <f>E31*F31</f>
        <v>320</v>
      </c>
      <c r="J31" s="3" t="s">
        <v>73</v>
      </c>
      <c r="K31" s="5">
        <v>16543</v>
      </c>
    </row>
    <row r="32" spans="1:11" x14ac:dyDescent="0.35">
      <c r="A32" s="8">
        <v>1031</v>
      </c>
      <c r="B32" s="8" t="s">
        <v>46</v>
      </c>
      <c r="C32" s="8" t="s">
        <v>14</v>
      </c>
      <c r="D32" s="8" t="s">
        <v>15</v>
      </c>
      <c r="E32" s="8">
        <v>10</v>
      </c>
      <c r="F32" s="8">
        <v>25</v>
      </c>
      <c r="G32" s="9">
        <v>45336</v>
      </c>
      <c r="H32" s="1">
        <f>E32*F32</f>
        <v>250</v>
      </c>
    </row>
    <row r="33" spans="1:8" x14ac:dyDescent="0.35">
      <c r="A33" s="8">
        <v>1032</v>
      </c>
      <c r="B33" s="8" t="s">
        <v>47</v>
      </c>
      <c r="C33" s="8" t="s">
        <v>17</v>
      </c>
      <c r="D33" s="8" t="s">
        <v>19</v>
      </c>
      <c r="E33" s="8">
        <v>18</v>
      </c>
      <c r="F33" s="8">
        <v>5</v>
      </c>
      <c r="G33" s="9">
        <v>45338</v>
      </c>
      <c r="H33" s="1">
        <f>E33*F33</f>
        <v>90</v>
      </c>
    </row>
    <row r="34" spans="1:8" x14ac:dyDescent="0.35">
      <c r="A34" s="8">
        <v>1033</v>
      </c>
      <c r="B34" s="8" t="s">
        <v>48</v>
      </c>
      <c r="C34" s="8" t="s">
        <v>8</v>
      </c>
      <c r="D34" s="8" t="s">
        <v>22</v>
      </c>
      <c r="E34" s="8">
        <v>22</v>
      </c>
      <c r="F34" s="8">
        <v>8</v>
      </c>
      <c r="G34" s="9">
        <v>45339</v>
      </c>
      <c r="H34" s="1">
        <f>E34*F34</f>
        <v>176</v>
      </c>
    </row>
    <row r="35" spans="1:8" x14ac:dyDescent="0.35">
      <c r="A35" s="8">
        <v>1034</v>
      </c>
      <c r="B35" s="8" t="s">
        <v>49</v>
      </c>
      <c r="C35" s="8" t="s">
        <v>11</v>
      </c>
      <c r="D35" s="8" t="s">
        <v>9</v>
      </c>
      <c r="E35" s="8">
        <v>17</v>
      </c>
      <c r="F35" s="8">
        <v>50</v>
      </c>
      <c r="G35" s="9">
        <v>45340</v>
      </c>
      <c r="H35" s="1">
        <f>E35*F35</f>
        <v>850</v>
      </c>
    </row>
    <row r="36" spans="1:8" x14ac:dyDescent="0.35">
      <c r="A36" s="8">
        <v>1035</v>
      </c>
      <c r="B36" s="8" t="s">
        <v>50</v>
      </c>
      <c r="C36" s="8" t="s">
        <v>14</v>
      </c>
      <c r="D36" s="8" t="s">
        <v>12</v>
      </c>
      <c r="E36" s="8">
        <v>19</v>
      </c>
      <c r="F36" s="8">
        <v>10</v>
      </c>
      <c r="G36" s="9">
        <v>45341</v>
      </c>
      <c r="H36" s="1">
        <f>E36*F36</f>
        <v>190</v>
      </c>
    </row>
    <row r="37" spans="1:8" x14ac:dyDescent="0.35">
      <c r="A37" s="8">
        <v>1036</v>
      </c>
      <c r="B37" s="8" t="s">
        <v>51</v>
      </c>
      <c r="C37" s="8" t="s">
        <v>17</v>
      </c>
      <c r="D37" s="8" t="s">
        <v>15</v>
      </c>
      <c r="E37" s="8">
        <v>15</v>
      </c>
      <c r="F37" s="8">
        <v>25</v>
      </c>
      <c r="G37" s="9">
        <v>45343</v>
      </c>
      <c r="H37" s="1">
        <f>E37*F37</f>
        <v>375</v>
      </c>
    </row>
    <row r="38" spans="1:8" x14ac:dyDescent="0.35">
      <c r="A38" s="8">
        <v>1037</v>
      </c>
      <c r="B38" s="8" t="s">
        <v>52</v>
      </c>
      <c r="C38" s="8" t="s">
        <v>8</v>
      </c>
      <c r="D38" s="8" t="s">
        <v>19</v>
      </c>
      <c r="E38" s="8">
        <v>28</v>
      </c>
      <c r="F38" s="8">
        <v>5</v>
      </c>
      <c r="G38" s="9">
        <v>45344</v>
      </c>
      <c r="H38" s="1">
        <f>E38*F38</f>
        <v>140</v>
      </c>
    </row>
    <row r="39" spans="1:8" x14ac:dyDescent="0.35">
      <c r="A39" s="8">
        <v>1038</v>
      </c>
      <c r="B39" s="8" t="s">
        <v>53</v>
      </c>
      <c r="C39" s="8" t="s">
        <v>11</v>
      </c>
      <c r="D39" s="8" t="s">
        <v>22</v>
      </c>
      <c r="E39" s="8">
        <v>24</v>
      </c>
      <c r="F39" s="8">
        <v>8</v>
      </c>
      <c r="G39" s="9">
        <v>45345</v>
      </c>
      <c r="H39" s="1">
        <f>E39*F39</f>
        <v>192</v>
      </c>
    </row>
    <row r="40" spans="1:8" x14ac:dyDescent="0.35">
      <c r="A40" s="8">
        <v>1039</v>
      </c>
      <c r="B40" s="8" t="s">
        <v>54</v>
      </c>
      <c r="C40" s="8" t="s">
        <v>14</v>
      </c>
      <c r="D40" s="8" t="s">
        <v>9</v>
      </c>
      <c r="E40" s="8">
        <v>16</v>
      </c>
      <c r="F40" s="8">
        <v>50</v>
      </c>
      <c r="G40" s="9">
        <v>45347</v>
      </c>
      <c r="H40" s="1">
        <f>E40*F40</f>
        <v>800</v>
      </c>
    </row>
    <row r="41" spans="1:8" x14ac:dyDescent="0.35">
      <c r="A41" s="8">
        <v>1040</v>
      </c>
      <c r="B41" s="8" t="s">
        <v>55</v>
      </c>
      <c r="C41" s="8" t="s">
        <v>17</v>
      </c>
      <c r="D41" s="8" t="s">
        <v>12</v>
      </c>
      <c r="E41" s="8">
        <v>27</v>
      </c>
      <c r="F41" s="8">
        <v>10</v>
      </c>
      <c r="G41" s="9">
        <v>45348</v>
      </c>
      <c r="H41" s="1">
        <f>E41*F41</f>
        <v>270</v>
      </c>
    </row>
    <row r="42" spans="1:8" x14ac:dyDescent="0.35">
      <c r="A42" s="8">
        <v>1041</v>
      </c>
      <c r="B42" s="8" t="s">
        <v>56</v>
      </c>
      <c r="C42" s="8" t="s">
        <v>8</v>
      </c>
      <c r="D42" s="8" t="s">
        <v>15</v>
      </c>
      <c r="E42" s="8">
        <v>21</v>
      </c>
      <c r="F42" s="8">
        <v>25</v>
      </c>
      <c r="G42" s="9">
        <v>45349</v>
      </c>
      <c r="H42" s="1">
        <f>E42*F42</f>
        <v>525</v>
      </c>
    </row>
    <row r="43" spans="1:8" x14ac:dyDescent="0.35">
      <c r="A43" s="8">
        <v>1042</v>
      </c>
      <c r="B43" s="8" t="s">
        <v>57</v>
      </c>
      <c r="C43" s="8" t="s">
        <v>11</v>
      </c>
      <c r="D43" s="8" t="s">
        <v>19</v>
      </c>
      <c r="E43" s="8">
        <v>30</v>
      </c>
      <c r="F43" s="8">
        <v>5</v>
      </c>
      <c r="G43" s="9">
        <v>45350</v>
      </c>
      <c r="H43" s="1">
        <f>E43*F43</f>
        <v>150</v>
      </c>
    </row>
    <row r="44" spans="1:8" x14ac:dyDescent="0.35">
      <c r="A44" s="8">
        <v>1043</v>
      </c>
      <c r="B44" s="8" t="s">
        <v>58</v>
      </c>
      <c r="C44" s="8" t="s">
        <v>14</v>
      </c>
      <c r="D44" s="8" t="s">
        <v>22</v>
      </c>
      <c r="E44" s="8">
        <v>26</v>
      </c>
      <c r="F44" s="8">
        <v>8</v>
      </c>
      <c r="G44" s="9">
        <v>45352</v>
      </c>
      <c r="H44" s="1">
        <f>E44*F44</f>
        <v>208</v>
      </c>
    </row>
    <row r="45" spans="1:8" x14ac:dyDescent="0.35">
      <c r="A45" s="8">
        <v>1044</v>
      </c>
      <c r="B45" s="8" t="s">
        <v>59</v>
      </c>
      <c r="C45" s="8" t="s">
        <v>17</v>
      </c>
      <c r="D45" s="8" t="s">
        <v>9</v>
      </c>
      <c r="E45" s="8">
        <v>14</v>
      </c>
      <c r="F45" s="8">
        <v>50</v>
      </c>
      <c r="G45" s="9">
        <v>45353</v>
      </c>
      <c r="H45" s="1">
        <f>E45*F45</f>
        <v>700</v>
      </c>
    </row>
    <row r="46" spans="1:8" x14ac:dyDescent="0.35">
      <c r="A46" s="8">
        <v>1045</v>
      </c>
      <c r="B46" s="8" t="s">
        <v>60</v>
      </c>
      <c r="C46" s="8" t="s">
        <v>8</v>
      </c>
      <c r="D46" s="8" t="s">
        <v>12</v>
      </c>
      <c r="E46" s="8">
        <v>20</v>
      </c>
      <c r="F46" s="8">
        <v>10</v>
      </c>
      <c r="G46" s="9">
        <v>45354</v>
      </c>
      <c r="H46" s="1">
        <f>E46*F46</f>
        <v>200</v>
      </c>
    </row>
    <row r="47" spans="1:8" x14ac:dyDescent="0.35">
      <c r="A47" s="8">
        <v>1046</v>
      </c>
      <c r="B47" s="8" t="s">
        <v>61</v>
      </c>
      <c r="C47" s="8" t="s">
        <v>11</v>
      </c>
      <c r="D47" s="8" t="s">
        <v>15</v>
      </c>
      <c r="E47" s="8">
        <v>17</v>
      </c>
      <c r="F47" s="8">
        <v>25</v>
      </c>
      <c r="G47" s="9">
        <v>45355</v>
      </c>
      <c r="H47" s="1">
        <f>E47*F47</f>
        <v>425</v>
      </c>
    </row>
    <row r="48" spans="1:8" x14ac:dyDescent="0.35">
      <c r="A48" s="8">
        <v>1047</v>
      </c>
      <c r="B48" s="8" t="s">
        <v>62</v>
      </c>
      <c r="C48" s="8" t="s">
        <v>14</v>
      </c>
      <c r="D48" s="8" t="s">
        <v>19</v>
      </c>
      <c r="E48" s="8">
        <v>19</v>
      </c>
      <c r="F48" s="8">
        <v>5</v>
      </c>
      <c r="G48" s="9">
        <v>45356</v>
      </c>
      <c r="H48" s="1">
        <f>E48*F48</f>
        <v>95</v>
      </c>
    </row>
    <row r="49" spans="1:14" x14ac:dyDescent="0.35">
      <c r="A49" s="8">
        <v>1048</v>
      </c>
      <c r="B49" s="8" t="s">
        <v>63</v>
      </c>
      <c r="C49" s="8" t="s">
        <v>17</v>
      </c>
      <c r="D49" s="8" t="s">
        <v>22</v>
      </c>
      <c r="E49" s="8">
        <v>32</v>
      </c>
      <c r="F49" s="8">
        <v>8</v>
      </c>
      <c r="G49" s="9">
        <v>45357</v>
      </c>
      <c r="H49" s="1">
        <f>E49*F49</f>
        <v>256</v>
      </c>
    </row>
    <row r="50" spans="1:14" x14ac:dyDescent="0.35">
      <c r="A50" s="8">
        <v>1049</v>
      </c>
      <c r="B50" s="8" t="s">
        <v>64</v>
      </c>
      <c r="C50" s="8" t="s">
        <v>8</v>
      </c>
      <c r="D50" s="8" t="s">
        <v>9</v>
      </c>
      <c r="E50" s="8">
        <v>12</v>
      </c>
      <c r="F50" s="8">
        <v>50</v>
      </c>
      <c r="G50" s="9">
        <v>45358</v>
      </c>
      <c r="H50" s="1">
        <f>E50*F50</f>
        <v>600</v>
      </c>
    </row>
    <row r="51" spans="1:14" x14ac:dyDescent="0.35">
      <c r="A51" s="8">
        <v>1050</v>
      </c>
      <c r="B51" s="8" t="s">
        <v>65</v>
      </c>
      <c r="C51" s="8" t="s">
        <v>11</v>
      </c>
      <c r="D51" s="8" t="s">
        <v>12</v>
      </c>
      <c r="E51" s="8">
        <v>25</v>
      </c>
      <c r="F51" s="8">
        <v>10</v>
      </c>
      <c r="G51" s="9">
        <v>45359</v>
      </c>
      <c r="H51" s="1">
        <f>E51*F51</f>
        <v>250</v>
      </c>
    </row>
    <row r="53" spans="1:14" x14ac:dyDescent="0.35">
      <c r="G53" t="s">
        <v>74</v>
      </c>
      <c r="H53" s="10">
        <f>SUM(H2:H51)</f>
        <v>16543</v>
      </c>
    </row>
    <row r="54" spans="1:14" x14ac:dyDescent="0.35">
      <c r="N54">
        <f>SUM(H2:H51)</f>
        <v>16543</v>
      </c>
    </row>
  </sheetData>
  <mergeCells count="2">
    <mergeCell ref="I1:M1"/>
    <mergeCell ref="I4:K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madan</dc:creator>
  <cp:lastModifiedBy>deepanshu madan</cp:lastModifiedBy>
  <dcterms:created xsi:type="dcterms:W3CDTF">2026-02-14T13:48:22Z</dcterms:created>
  <dcterms:modified xsi:type="dcterms:W3CDTF">2026-02-14T15:00:51Z</dcterms:modified>
</cp:coreProperties>
</file>